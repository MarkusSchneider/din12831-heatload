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5608c898d98ab1/Dokumente/Haus/Wärmepumpe/"/>
    </mc:Choice>
  </mc:AlternateContent>
  <xr:revisionPtr revIDLastSave="0" documentId="8_{A4D10294-E428-440B-9DB9-52EA4A847C37}" xr6:coauthVersionLast="36" xr6:coauthVersionMax="36" xr10:uidLastSave="{00000000-0000-0000-0000-000000000000}"/>
  <bookViews>
    <workbookView xWindow="0" yWindow="0" windowWidth="24720" windowHeight="12105" xr2:uid="{E6EC6014-DF0D-42FA-8B2C-5A7433992A9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" l="1"/>
  <c r="H23" i="1" s="1"/>
  <c r="F22" i="1"/>
  <c r="I21" i="1"/>
  <c r="J21" i="1" s="1"/>
  <c r="I22" i="1"/>
  <c r="J22" i="1" s="1"/>
  <c r="I23" i="1"/>
  <c r="I24" i="1"/>
  <c r="I25" i="1"/>
  <c r="I20" i="1"/>
  <c r="H21" i="1"/>
  <c r="H22" i="1"/>
  <c r="H24" i="1"/>
  <c r="H25" i="1"/>
  <c r="H20" i="1"/>
  <c r="F25" i="1"/>
  <c r="F24" i="1"/>
  <c r="E24" i="1"/>
  <c r="E22" i="1"/>
  <c r="F21" i="1"/>
  <c r="E21" i="1"/>
  <c r="F20" i="1"/>
  <c r="E20" i="1"/>
  <c r="D23" i="1"/>
  <c r="D24" i="1"/>
  <c r="C23" i="1"/>
  <c r="C24" i="1"/>
  <c r="D25" i="1"/>
  <c r="C25" i="1"/>
  <c r="D22" i="1"/>
  <c r="D21" i="1"/>
  <c r="D20" i="1"/>
  <c r="C22" i="1"/>
  <c r="C21" i="1"/>
  <c r="C20" i="1"/>
  <c r="C17" i="1"/>
  <c r="C16" i="1"/>
  <c r="C8" i="1"/>
  <c r="D8" i="1" s="1"/>
  <c r="C7" i="1"/>
  <c r="D7" i="1" s="1"/>
  <c r="C6" i="1"/>
  <c r="C5" i="1"/>
  <c r="C2" i="1"/>
  <c r="J25" i="1" l="1"/>
  <c r="J24" i="1"/>
  <c r="J23" i="1"/>
  <c r="F8" i="1"/>
  <c r="G23" i="1"/>
  <c r="G24" i="1"/>
  <c r="G20" i="1"/>
  <c r="G21" i="1"/>
  <c r="G22" i="1"/>
  <c r="G25" i="1"/>
  <c r="E16" i="1"/>
  <c r="E6" i="1"/>
  <c r="E5" i="1"/>
  <c r="D5" i="1"/>
  <c r="D6" i="1"/>
  <c r="E7" i="1"/>
  <c r="F6" i="1"/>
  <c r="F7" i="1"/>
  <c r="E8" i="1"/>
  <c r="F5" i="1"/>
  <c r="G8" i="1" l="1"/>
  <c r="J20" i="1"/>
  <c r="J26" i="1" s="1"/>
  <c r="H16" i="1" s="1"/>
  <c r="G7" i="1"/>
  <c r="G6" i="1"/>
  <c r="G5" i="1"/>
  <c r="G9" i="1" l="1"/>
  <c r="H2" i="1" s="1"/>
</calcChain>
</file>

<file path=xl/sharedStrings.xml><?xml version="1.0" encoding="utf-8"?>
<sst xmlns="http://schemas.openxmlformats.org/spreadsheetml/2006/main" count="30" uniqueCount="23">
  <si>
    <t>Breite</t>
  </si>
  <si>
    <t>Länge</t>
  </si>
  <si>
    <t>Fläche</t>
  </si>
  <si>
    <t>osten</t>
  </si>
  <si>
    <t>süden</t>
  </si>
  <si>
    <t>westen</t>
  </si>
  <si>
    <t>norden</t>
  </si>
  <si>
    <t>Ecke 1</t>
  </si>
  <si>
    <t>Ecke 2</t>
  </si>
  <si>
    <t>Wanddicke</t>
  </si>
  <si>
    <t>Wanddiche eff.</t>
  </si>
  <si>
    <t>Wandfläche</t>
  </si>
  <si>
    <t>Summe</t>
  </si>
  <si>
    <t>Ostwand</t>
  </si>
  <si>
    <t>Südwand</t>
  </si>
  <si>
    <t>Westwand 1</t>
  </si>
  <si>
    <t>Westwand 2</t>
  </si>
  <si>
    <t>Nordwand 1</t>
  </si>
  <si>
    <t>Nordwand 2</t>
  </si>
  <si>
    <t>Angrenzend Links</t>
  </si>
  <si>
    <t>Angrenzend Rechts</t>
  </si>
  <si>
    <t>Ecke links</t>
  </si>
  <si>
    <t>Ecke Rechts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</si>
</sst>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F2D6-1CCB-4C13-8D5A-415408473B07}">
  <dimension ref="A1:J26"/>
  <sheetViews>
    <sheetView tabSelected="1" workbookViewId="0">
      <selection activeCell="A19" sqref="A19:J25"/>
    </sheetView>
  </sheetViews>
  <sheetFormatPr baseColWidth="10" defaultRowHeight="15" x14ac:dyDescent="0.25"/>
  <cols>
    <col min="3" max="3" width="14.5703125" bestFit="1" customWidth="1"/>
    <col min="5" max="5" width="16.7109375" bestFit="1" customWidth="1"/>
    <col min="6" max="6" width="18.140625" bestFit="1" customWidth="1"/>
  </cols>
  <sheetData>
    <row r="1" spans="1:10" x14ac:dyDescent="0.25">
      <c r="A1" t="s">
        <v>0</v>
      </c>
      <c r="B1" t="s">
        <v>1</v>
      </c>
      <c r="C1" t="s">
        <v>2</v>
      </c>
    </row>
    <row r="2" spans="1:10" x14ac:dyDescent="0.25">
      <c r="A2">
        <v>3.7</v>
      </c>
      <c r="B2">
        <v>3.7</v>
      </c>
      <c r="C2">
        <f>A2*B2</f>
        <v>13.690000000000001</v>
      </c>
      <c r="H2">
        <f>C2+G9</f>
        <v>17.744100000000003</v>
      </c>
      <c r="J2" s="2"/>
    </row>
    <row r="4" spans="1:10" x14ac:dyDescent="0.25">
      <c r="B4" t="s">
        <v>9</v>
      </c>
      <c r="C4" t="s">
        <v>10</v>
      </c>
      <c r="D4" t="s">
        <v>11</v>
      </c>
      <c r="E4" t="s">
        <v>7</v>
      </c>
      <c r="F4" t="s">
        <v>8</v>
      </c>
    </row>
    <row r="5" spans="1:10" x14ac:dyDescent="0.25">
      <c r="A5" t="s">
        <v>3</v>
      </c>
      <c r="B5">
        <v>0.42</v>
      </c>
      <c r="C5">
        <f>B5</f>
        <v>0.42</v>
      </c>
      <c r="D5">
        <f>C5*A2</f>
        <v>1.554</v>
      </c>
      <c r="E5">
        <f>C5*C8/2</f>
        <v>1.2599999999999998E-2</v>
      </c>
      <c r="F5">
        <f>C5*C6/2</f>
        <v>8.8199999999999987E-2</v>
      </c>
      <c r="G5">
        <f>SUM(D5:F5)</f>
        <v>1.6548</v>
      </c>
    </row>
    <row r="6" spans="1:10" x14ac:dyDescent="0.25">
      <c r="A6" t="s">
        <v>4</v>
      </c>
      <c r="B6">
        <v>0.42</v>
      </c>
      <c r="C6">
        <f t="shared" ref="C6" si="0">B6</f>
        <v>0.42</v>
      </c>
      <c r="D6">
        <f>C6*B2</f>
        <v>1.554</v>
      </c>
      <c r="E6">
        <f>C6*C5/2</f>
        <v>8.8199999999999987E-2</v>
      </c>
      <c r="F6">
        <f>C6*C7/2</f>
        <v>2.6249999999999999E-2</v>
      </c>
      <c r="G6">
        <f t="shared" ref="G6:G8" si="1">SUM(D6:F6)</f>
        <v>1.6684500000000002</v>
      </c>
    </row>
    <row r="7" spans="1:10" x14ac:dyDescent="0.25">
      <c r="A7" t="s">
        <v>5</v>
      </c>
      <c r="B7">
        <v>0.25</v>
      </c>
      <c r="C7">
        <f>B7/2</f>
        <v>0.125</v>
      </c>
      <c r="D7">
        <f>C7*A2</f>
        <v>0.46250000000000002</v>
      </c>
      <c r="E7">
        <f>C7*C6/2</f>
        <v>2.6249999999999999E-2</v>
      </c>
      <c r="F7">
        <f>C7*C8/2</f>
        <v>3.7499999999999999E-3</v>
      </c>
      <c r="G7">
        <f t="shared" si="1"/>
        <v>0.49249999999999999</v>
      </c>
    </row>
    <row r="8" spans="1:10" x14ac:dyDescent="0.25">
      <c r="A8" t="s">
        <v>6</v>
      </c>
      <c r="B8">
        <v>0.12</v>
      </c>
      <c r="C8">
        <f>B8/2</f>
        <v>0.06</v>
      </c>
      <c r="D8">
        <f>C8*B2</f>
        <v>0.222</v>
      </c>
      <c r="E8">
        <f>C8*C7/2</f>
        <v>3.7499999999999999E-3</v>
      </c>
      <c r="F8">
        <f>C8*C5/2</f>
        <v>1.2599999999999998E-2</v>
      </c>
      <c r="G8">
        <f t="shared" si="1"/>
        <v>0.23835000000000001</v>
      </c>
    </row>
    <row r="9" spans="1:10" x14ac:dyDescent="0.25">
      <c r="G9">
        <f>SUM(G5:G8)</f>
        <v>4.0541</v>
      </c>
    </row>
    <row r="15" spans="1:10" x14ac:dyDescent="0.25">
      <c r="A15" t="s">
        <v>0</v>
      </c>
      <c r="B15" t="s">
        <v>1</v>
      </c>
      <c r="C15" t="s">
        <v>2</v>
      </c>
    </row>
    <row r="16" spans="1:10" x14ac:dyDescent="0.25">
      <c r="A16">
        <v>2.37</v>
      </c>
      <c r="B16">
        <v>1.96</v>
      </c>
      <c r="C16" s="1">
        <f>A16*B16</f>
        <v>4.6452</v>
      </c>
      <c r="E16" s="1">
        <f>C16+C17</f>
        <v>5.3765000000000001</v>
      </c>
      <c r="H16" s="2">
        <f>E16+J26</f>
        <v>7.38225</v>
      </c>
    </row>
    <row r="17" spans="1:10" x14ac:dyDescent="0.25">
      <c r="A17">
        <v>1.03</v>
      </c>
      <c r="B17">
        <v>0.71</v>
      </c>
      <c r="C17" s="1">
        <f>A17*B17</f>
        <v>0.73129999999999995</v>
      </c>
    </row>
    <row r="19" spans="1:10" x14ac:dyDescent="0.25">
      <c r="B19" t="s">
        <v>9</v>
      </c>
      <c r="C19" t="s">
        <v>10</v>
      </c>
      <c r="D19" t="s">
        <v>1</v>
      </c>
      <c r="E19" t="s">
        <v>19</v>
      </c>
      <c r="F19" t="s">
        <v>20</v>
      </c>
      <c r="G19" t="s">
        <v>11</v>
      </c>
      <c r="H19" t="s">
        <v>21</v>
      </c>
      <c r="I19" t="s">
        <v>22</v>
      </c>
      <c r="J19" t="s">
        <v>12</v>
      </c>
    </row>
    <row r="20" spans="1:10" x14ac:dyDescent="0.25">
      <c r="A20" t="s">
        <v>13</v>
      </c>
      <c r="B20">
        <v>0.42</v>
      </c>
      <c r="C20">
        <f>B20</f>
        <v>0.42</v>
      </c>
      <c r="D20">
        <f>A16+A17</f>
        <v>3.4000000000000004</v>
      </c>
      <c r="E20">
        <f>C24</f>
        <v>0.125</v>
      </c>
      <c r="F20">
        <f>C21</f>
        <v>0.06</v>
      </c>
      <c r="G20" s="2">
        <f>D20*C20</f>
        <v>1.4280000000000002</v>
      </c>
      <c r="H20">
        <f>C20*E20/2</f>
        <v>2.6249999999999999E-2</v>
      </c>
      <c r="I20">
        <f>C20*F20/2</f>
        <v>1.2599999999999998E-2</v>
      </c>
      <c r="J20" s="2">
        <f>SUM(G20:I20)</f>
        <v>1.4668500000000002</v>
      </c>
    </row>
    <row r="21" spans="1:10" x14ac:dyDescent="0.25">
      <c r="A21" t="s">
        <v>14</v>
      </c>
      <c r="B21">
        <v>0.12</v>
      </c>
      <c r="C21">
        <f>B21/2</f>
        <v>0.06</v>
      </c>
      <c r="D21">
        <f>B16</f>
        <v>1.96</v>
      </c>
      <c r="E21">
        <f>C20</f>
        <v>0.42</v>
      </c>
      <c r="F21">
        <f>C22</f>
        <v>0.06</v>
      </c>
      <c r="G21" s="2">
        <f t="shared" ref="G21:G24" si="2">D21*C21</f>
        <v>0.1176</v>
      </c>
      <c r="H21">
        <f t="shared" ref="H21:H25" si="3">C21*E21/2</f>
        <v>1.2599999999999998E-2</v>
      </c>
      <c r="I21">
        <f t="shared" ref="I21:I25" si="4">C21*F21/2</f>
        <v>1.8E-3</v>
      </c>
      <c r="J21" s="2">
        <f t="shared" ref="J21:J25" si="5">SUM(G21:I21)</f>
        <v>0.13199999999999998</v>
      </c>
    </row>
    <row r="22" spans="1:10" x14ac:dyDescent="0.25">
      <c r="A22" t="s">
        <v>15</v>
      </c>
      <c r="B22">
        <v>0.12</v>
      </c>
      <c r="C22">
        <f>B22/2</f>
        <v>0.06</v>
      </c>
      <c r="D22">
        <f>A16</f>
        <v>2.37</v>
      </c>
      <c r="E22">
        <f>C21</f>
        <v>0.06</v>
      </c>
      <c r="F22">
        <f>C23</f>
        <v>0.06</v>
      </c>
      <c r="G22" s="2">
        <f>D22*C22</f>
        <v>0.14219999999999999</v>
      </c>
      <c r="H22">
        <f t="shared" si="3"/>
        <v>1.8E-3</v>
      </c>
      <c r="I22">
        <f t="shared" si="4"/>
        <v>1.8E-3</v>
      </c>
      <c r="J22" s="2">
        <f t="shared" si="5"/>
        <v>0.14579999999999999</v>
      </c>
    </row>
    <row r="23" spans="1:10" x14ac:dyDescent="0.25">
      <c r="A23" t="s">
        <v>17</v>
      </c>
      <c r="B23">
        <v>0.12</v>
      </c>
      <c r="C23">
        <f t="shared" ref="C23:C24" si="6">B23/2</f>
        <v>0.06</v>
      </c>
      <c r="D23">
        <f>B16-B17</f>
        <v>1.25</v>
      </c>
      <c r="E23">
        <f>C22</f>
        <v>0.06</v>
      </c>
      <c r="F23">
        <v>0</v>
      </c>
      <c r="G23" s="2">
        <f t="shared" si="2"/>
        <v>7.4999999999999997E-2</v>
      </c>
      <c r="H23">
        <f t="shared" si="3"/>
        <v>1.8E-3</v>
      </c>
      <c r="I23">
        <f t="shared" si="4"/>
        <v>0</v>
      </c>
      <c r="J23" s="2">
        <f t="shared" si="5"/>
        <v>7.6799999999999993E-2</v>
      </c>
    </row>
    <row r="24" spans="1:10" x14ac:dyDescent="0.25">
      <c r="A24" t="s">
        <v>18</v>
      </c>
      <c r="B24">
        <v>0.25</v>
      </c>
      <c r="C24">
        <f t="shared" si="6"/>
        <v>0.125</v>
      </c>
      <c r="D24">
        <f>B17</f>
        <v>0.71</v>
      </c>
      <c r="E24">
        <f>C25</f>
        <v>0.06</v>
      </c>
      <c r="F24">
        <f>C20</f>
        <v>0.42</v>
      </c>
      <c r="G24" s="2">
        <f t="shared" si="2"/>
        <v>8.8749999999999996E-2</v>
      </c>
      <c r="H24">
        <f t="shared" si="3"/>
        <v>3.7499999999999999E-3</v>
      </c>
      <c r="I24">
        <f t="shared" si="4"/>
        <v>2.6249999999999999E-2</v>
      </c>
      <c r="J24" s="2">
        <f t="shared" si="5"/>
        <v>0.11874999999999999</v>
      </c>
    </row>
    <row r="25" spans="1:10" x14ac:dyDescent="0.25">
      <c r="A25" t="s">
        <v>16</v>
      </c>
      <c r="B25">
        <v>0.12</v>
      </c>
      <c r="C25">
        <f>B25/2</f>
        <v>0.06</v>
      </c>
      <c r="D25">
        <f>A17</f>
        <v>1.03</v>
      </c>
      <c r="E25">
        <v>0</v>
      </c>
      <c r="F25">
        <f>C24</f>
        <v>0.125</v>
      </c>
      <c r="G25" s="2">
        <f>D25*C25</f>
        <v>6.1800000000000001E-2</v>
      </c>
      <c r="H25">
        <f t="shared" si="3"/>
        <v>0</v>
      </c>
      <c r="I25">
        <f t="shared" si="4"/>
        <v>3.7499999999999999E-3</v>
      </c>
      <c r="J25" s="2">
        <f t="shared" si="5"/>
        <v>6.5549999999999997E-2</v>
      </c>
    </row>
    <row r="26" spans="1:10" x14ac:dyDescent="0.25">
      <c r="J26" s="2">
        <f>SUM(J20:J25)</f>
        <v>2.0057499999999999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Schneider</dc:creator>
  <cp:lastModifiedBy>Markus Schneider</cp:lastModifiedBy>
  <dcterms:created xsi:type="dcterms:W3CDTF">2026-01-04T14:59:16Z</dcterms:created>
  <dcterms:modified xsi:type="dcterms:W3CDTF">2026-01-04T17:20:27Z</dcterms:modified>
</cp:coreProperties>
</file>